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Downloads\Screening records compiled_20261021\"/>
    </mc:Choice>
  </mc:AlternateContent>
  <bookViews>
    <workbookView xWindow="-7770" yWindow="-16300" windowWidth="29000" windowHeight="15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 s="1"/>
  <c r="B8" i="1"/>
  <c r="B10" i="1"/>
</calcChain>
</file>

<file path=xl/sharedStrings.xml><?xml version="1.0" encoding="utf-8"?>
<sst xmlns="http://schemas.openxmlformats.org/spreadsheetml/2006/main" count="45" uniqueCount="43">
  <si>
    <t>WoS_2025-01-17.ris</t>
  </si>
  <si>
    <t>Scopus_2025-01-17.ris</t>
  </si>
  <si>
    <t>PilotData_citations-2025-01-17.ris</t>
  </si>
  <si>
    <t>PilotData_references-2025-01-17.ris</t>
  </si>
  <si>
    <t xml:space="preserve">initial WoS search </t>
  </si>
  <si>
    <t xml:space="preserve">initial Scopus search </t>
  </si>
  <si>
    <t xml:space="preserve">initial snowballing backwards search </t>
  </si>
  <si>
    <t xml:space="preserve">initial snowballing forwards search </t>
  </si>
  <si>
    <t>    citation-SNmeta_all_2025-02-27 = forward snowballing from systematic search 2 (n=1908)</t>
  </si>
  <si>
    <t>    references-SNmeta_all_2025-02-27 = backward snowballing from systematic search 2 (n=1249)</t>
  </si>
  <si>
    <t>    BackwardsSnowballmetasince2018 = another part of the backward snowballing from systematic search 2 (n=1064)</t>
  </si>
  <si>
    <t>    Snowball2 (n=1952) is the deduplicated version of the forward+backward snowball for papers since 2018, and I had to do it again for papers before 2018 which is probably still on the cloud folder.</t>
  </si>
  <si>
    <t>    Total_2025-02-27 : the complete list </t>
  </si>
  <si>
    <t>PilotData.ris</t>
  </si>
  <si>
    <t>initial set of 25 manually found papers from Google Scholar</t>
  </si>
  <si>
    <t>additional duplicates found through Rayyan</t>
  </si>
  <si>
    <t>Rescreen.bib (on Rayyan)</t>
  </si>
  <si>
    <t>Snowball2_2025-02-27.bib</t>
  </si>
  <si>
    <t>Total first round</t>
  </si>
  <si>
    <t>Total 2nd Round</t>
  </si>
  <si>
    <t>Total Abstracts Screened</t>
  </si>
  <si>
    <t>TAs with decisions</t>
  </si>
  <si>
    <t xml:space="preserve"> </t>
  </si>
  <si>
    <t>citation-SNmeta_all_2025-02-27</t>
  </si>
  <si>
    <t>references-SNmeta2_2025-02-27.ris</t>
  </si>
  <si>
    <t>backwardsSnowballmetassince2018_2025-02-06</t>
  </si>
  <si>
    <t>generated from backwardsSnowballmetassince2018_2025-02-06 in script Metanoise_screening_2025-02-12.RMD</t>
  </si>
  <si>
    <t>Database/ screening files</t>
  </si>
  <si>
    <t>No. Records</t>
  </si>
  <si>
    <t>aggregated file with all the above (not deduplicated)</t>
  </si>
  <si>
    <t>deduplicated (revtools)</t>
  </si>
  <si>
    <t>Ryyan_cobined_biblilist.csv</t>
  </si>
  <si>
    <t>Ryyan_cobined_biblilist_deduplicated2.bib</t>
  </si>
  <si>
    <t>uploaded to Rayyan</t>
  </si>
  <si>
    <t>deduplicated 2nd snowball search, generated from Metanoise_screening_2025-03-10.Rmd</t>
  </si>
  <si>
    <t>LdF: "backward snowballing from systematic search 2 (n=1249)"</t>
  </si>
  <si>
    <t>LdF: "forward snowballing from systematic search 2 (n=1908)"</t>
  </si>
  <si>
    <t>LdF: "another part of the backward snowballing from systematic search 2 (n=1064)"</t>
  </si>
  <si>
    <t>FT with decisions (includes 2x additional records/thesis not from the above searches)</t>
  </si>
  <si>
    <t>From LfD, regarding the second round of screening files</t>
  </si>
  <si>
    <t>Notes</t>
  </si>
  <si>
    <t>Full_text_FinalDecisions.xlsx</t>
  </si>
  <si>
    <t>Title_abstract_FinalDecisions.xlsx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</si>
</sst>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b/>
      <sz val="11"/>
      <color rgb="FF006100"/>
      <name val="Arial"/>
      <family val="2"/>
    </font>
    <font>
      <b/>
      <sz val="11"/>
      <color rgb="FF9C0006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color rgb="FF006100"/>
      <name val="Arial"/>
      <family val="2"/>
    </font>
    <font>
      <b/>
      <i/>
      <sz val="11"/>
      <color rgb="FF9C0006"/>
      <name val="Arial"/>
      <family val="2"/>
    </font>
    <font>
      <b/>
      <i/>
      <sz val="11"/>
      <color rgb="FF006100"/>
      <name val="Arial"/>
      <family val="2"/>
    </font>
    <font>
      <i/>
      <sz val="11"/>
      <color theme="1"/>
      <name val="Arial"/>
      <family val="2"/>
    </font>
    <font>
      <b/>
      <i/>
      <sz val="1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1"/>
    <xf numFmtId="0" fontId="1" fillId="4" borderId="0" xfId="0" applyFont="1" applyFill="1"/>
    <xf numFmtId="0" fontId="0" fillId="4" borderId="0" xfId="0" applyFill="1"/>
    <xf numFmtId="0" fontId="4" fillId="2" borderId="0" xfId="1" applyFont="1"/>
    <xf numFmtId="0" fontId="5" fillId="3" borderId="0" xfId="2" applyFont="1"/>
    <xf numFmtId="0" fontId="6" fillId="2" borderId="0" xfId="1" applyFont="1"/>
    <xf numFmtId="0" fontId="7" fillId="0" borderId="0" xfId="0" applyFont="1"/>
    <xf numFmtId="0" fontId="8" fillId="2" borderId="0" xfId="1" applyFont="1"/>
    <xf numFmtId="0" fontId="9" fillId="3" borderId="0" xfId="2" applyFont="1"/>
    <xf numFmtId="0" fontId="10" fillId="2" borderId="0" xfId="1" applyFont="1"/>
    <xf numFmtId="0" fontId="11" fillId="0" borderId="0" xfId="0" applyFont="1"/>
    <xf numFmtId="0" fontId="12" fillId="2" borderId="0" xfId="1" applyFont="1"/>
    <xf numFmtId="0" fontId="13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zoomScale="115" zoomScaleNormal="115" workbookViewId="0">
      <selection activeCell="A25" sqref="A25"/>
    </sheetView>
  </sheetViews>
  <sheetFormatPr defaultRowHeight="14" x14ac:dyDescent="0.3"/>
  <cols>
    <col min="1" max="1" width="58.9140625" customWidth="1"/>
    <col min="2" max="2" width="15.25" bestFit="1" customWidth="1"/>
    <col min="3" max="3" width="35.25" customWidth="1"/>
  </cols>
  <sheetData>
    <row r="1" spans="1:4" s="14" customFormat="1" ht="18" x14ac:dyDescent="0.4">
      <c r="A1" s="14" t="s">
        <v>27</v>
      </c>
      <c r="B1" s="14" t="s">
        <v>28</v>
      </c>
      <c r="C1" s="14" t="s">
        <v>40</v>
      </c>
    </row>
    <row r="2" spans="1:4" s="2" customFormat="1" ht="14.5" x14ac:dyDescent="0.35">
      <c r="A2" s="9" t="s">
        <v>13</v>
      </c>
      <c r="B2" s="2">
        <v>25</v>
      </c>
      <c r="C2" s="2" t="s">
        <v>14</v>
      </c>
    </row>
    <row r="3" spans="1:4" s="2" customFormat="1" ht="14.5" x14ac:dyDescent="0.35">
      <c r="A3" s="9" t="s">
        <v>0</v>
      </c>
      <c r="B3" s="2">
        <v>502</v>
      </c>
      <c r="C3" s="2" t="s">
        <v>4</v>
      </c>
    </row>
    <row r="4" spans="1:4" s="2" customFormat="1" ht="14.5" x14ac:dyDescent="0.35">
      <c r="A4" s="9" t="s">
        <v>1</v>
      </c>
      <c r="B4" s="2">
        <v>991</v>
      </c>
      <c r="C4" s="2" t="s">
        <v>5</v>
      </c>
    </row>
    <row r="5" spans="1:4" s="2" customFormat="1" ht="14.5" x14ac:dyDescent="0.35">
      <c r="A5" s="9" t="s">
        <v>2</v>
      </c>
      <c r="B5" s="2">
        <v>1280</v>
      </c>
      <c r="C5" s="2" t="s">
        <v>6</v>
      </c>
    </row>
    <row r="6" spans="1:4" s="2" customFormat="1" ht="14.5" x14ac:dyDescent="0.35">
      <c r="A6" s="9" t="s">
        <v>3</v>
      </c>
      <c r="B6" s="2">
        <v>1043</v>
      </c>
      <c r="C6" s="2" t="s">
        <v>7</v>
      </c>
    </row>
    <row r="7" spans="1:4" s="2" customFormat="1" ht="14.5" x14ac:dyDescent="0.35">
      <c r="A7" s="9" t="s">
        <v>31</v>
      </c>
      <c r="B7" s="2">
        <v>3841</v>
      </c>
      <c r="C7" s="2" t="s">
        <v>29</v>
      </c>
    </row>
    <row r="8" spans="1:4" ht="14.5" x14ac:dyDescent="0.35">
      <c r="A8" s="12"/>
      <c r="B8">
        <f>B9-B7</f>
        <v>-1015</v>
      </c>
      <c r="C8" t="s">
        <v>30</v>
      </c>
    </row>
    <row r="9" spans="1:4" s="7" customFormat="1" x14ac:dyDescent="0.3">
      <c r="A9" s="13" t="s">
        <v>32</v>
      </c>
      <c r="B9" s="7">
        <v>2826</v>
      </c>
      <c r="C9" s="7" t="s">
        <v>33</v>
      </c>
    </row>
    <row r="10" spans="1:4" s="4" customFormat="1" x14ac:dyDescent="0.3">
      <c r="A10" s="3" t="s">
        <v>18</v>
      </c>
      <c r="B10" s="3">
        <f>B9</f>
        <v>2826</v>
      </c>
    </row>
    <row r="11" spans="1:4" x14ac:dyDescent="0.3">
      <c r="A11" t="s">
        <v>22</v>
      </c>
    </row>
    <row r="13" spans="1:4" s="2" customFormat="1" ht="14.5" x14ac:dyDescent="0.35">
      <c r="A13" s="9" t="s">
        <v>25</v>
      </c>
      <c r="B13" s="2">
        <v>1064</v>
      </c>
      <c r="C13" s="2" t="s">
        <v>37</v>
      </c>
    </row>
    <row r="14" spans="1:4" s="6" customFormat="1" x14ac:dyDescent="0.3">
      <c r="A14" s="10" t="s">
        <v>16</v>
      </c>
      <c r="B14" s="6">
        <v>954</v>
      </c>
      <c r="C14" s="6" t="s">
        <v>33</v>
      </c>
      <c r="D14" s="6" t="s">
        <v>26</v>
      </c>
    </row>
    <row r="15" spans="1:4" s="2" customFormat="1" ht="14.5" x14ac:dyDescent="0.35">
      <c r="A15" s="9" t="s">
        <v>23</v>
      </c>
      <c r="B15" s="2">
        <v>1908</v>
      </c>
      <c r="C15" s="2" t="s">
        <v>36</v>
      </c>
    </row>
    <row r="16" spans="1:4" s="2" customFormat="1" ht="14.5" x14ac:dyDescent="0.35">
      <c r="A16" s="9" t="s">
        <v>24</v>
      </c>
      <c r="B16" s="2">
        <v>1249</v>
      </c>
      <c r="C16" s="2" t="s">
        <v>35</v>
      </c>
    </row>
    <row r="17" spans="1:4" s="5" customFormat="1" x14ac:dyDescent="0.3">
      <c r="A17" s="11" t="s">
        <v>17</v>
      </c>
      <c r="B17" s="5">
        <v>1952</v>
      </c>
      <c r="C17" s="5" t="s">
        <v>33</v>
      </c>
      <c r="D17" s="5" t="s">
        <v>34</v>
      </c>
    </row>
    <row r="18" spans="1:4" x14ac:dyDescent="0.3">
      <c r="B18">
        <v>-53</v>
      </c>
      <c r="C18" t="s">
        <v>15</v>
      </c>
    </row>
    <row r="19" spans="1:4" s="4" customFormat="1" x14ac:dyDescent="0.3">
      <c r="A19" s="3" t="s">
        <v>19</v>
      </c>
      <c r="B19" s="3">
        <f>SUM(B14,B17, B18)</f>
        <v>2853</v>
      </c>
    </row>
    <row r="20" spans="1:4" x14ac:dyDescent="0.3">
      <c r="A20" s="1" t="s">
        <v>20</v>
      </c>
      <c r="B20" s="1">
        <f>SUM(B19,B10)</f>
        <v>5679</v>
      </c>
    </row>
    <row r="21" spans="1:4" x14ac:dyDescent="0.3">
      <c r="A21" s="1"/>
      <c r="B21" s="1"/>
    </row>
    <row r="22" spans="1:4" s="1" customFormat="1" x14ac:dyDescent="0.3">
      <c r="A22" s="8" t="s">
        <v>41</v>
      </c>
      <c r="B22" s="1">
        <v>5679</v>
      </c>
      <c r="C22" s="1" t="s">
        <v>21</v>
      </c>
    </row>
    <row r="23" spans="1:4" s="1" customFormat="1" x14ac:dyDescent="0.3">
      <c r="A23" s="8" t="s">
        <v>42</v>
      </c>
      <c r="B23" s="1">
        <v>119</v>
      </c>
      <c r="C23" s="1" t="s">
        <v>38</v>
      </c>
    </row>
    <row r="27" spans="1:4" x14ac:dyDescent="0.3">
      <c r="A27" t="s">
        <v>39</v>
      </c>
    </row>
    <row r="28" spans="1:4" x14ac:dyDescent="0.3">
      <c r="A28" t="s">
        <v>8</v>
      </c>
    </row>
    <row r="29" spans="1:4" x14ac:dyDescent="0.3">
      <c r="A29" t="s">
        <v>9</v>
      </c>
    </row>
    <row r="30" spans="1:4" x14ac:dyDescent="0.3">
      <c r="A30" t="s">
        <v>10</v>
      </c>
    </row>
    <row r="31" spans="1:4" x14ac:dyDescent="0.3">
      <c r="A31" t="s">
        <v>11</v>
      </c>
    </row>
    <row r="32" spans="1:4" x14ac:dyDescent="0.3">
      <c r="A3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Moran</dc:creator>
  <cp:lastModifiedBy>Alfredo Sánchez-Tójar</cp:lastModifiedBy>
  <dcterms:created xsi:type="dcterms:W3CDTF">2026-03-02T02:43:10Z</dcterms:created>
  <dcterms:modified xsi:type="dcterms:W3CDTF">2026-10-22T05:46:18Z</dcterms:modified>
</cp:coreProperties>
</file>